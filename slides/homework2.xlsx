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chartsheets/sheet1.xml" ContentType="application/vnd.openxmlformats-officedocument.spreadsheetml.chart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105" windowWidth="11760" windowHeight="12150" activeTab="1"/>
  </bookViews>
  <sheets>
    <sheet name="Chart1" sheetId="4" r:id="rId1"/>
    <sheet name="Sheet1" sheetId="1" r:id="rId2"/>
    <sheet name="Sheet2" sheetId="2" r:id="rId3"/>
    <sheet name="Sheet3" sheetId="3" r:id="rId4"/>
  </sheets>
  <calcPr calcId="125725"/>
</workbook>
</file>

<file path=xl/calcChain.xml><?xml version="1.0" encoding="utf-8"?>
<calcChain xmlns="http://schemas.openxmlformats.org/spreadsheetml/2006/main">
  <c r="BU18" i="2"/>
  <c r="BU16"/>
  <c r="BU15"/>
  <c r="BU14"/>
  <c r="BU13"/>
  <c r="BU12"/>
  <c r="BU11"/>
  <c r="BU10"/>
  <c r="BU9"/>
  <c r="BU8"/>
  <c r="BU7"/>
  <c r="BU6"/>
  <c r="BU5"/>
  <c r="BU4"/>
  <c r="BU3"/>
  <c r="BU2"/>
  <c r="BU1"/>
  <c r="BS1"/>
  <c r="G18" i="1"/>
  <c r="F18"/>
  <c r="D18"/>
  <c r="G17"/>
  <c r="F17"/>
  <c r="D17"/>
  <c r="G16"/>
  <c r="F16"/>
  <c r="D16"/>
  <c r="G15"/>
  <c r="F15"/>
  <c r="D15"/>
  <c r="G14"/>
  <c r="F14"/>
  <c r="D14"/>
  <c r="G13"/>
  <c r="F13"/>
  <c r="D13"/>
  <c r="G12"/>
  <c r="F12"/>
  <c r="D12"/>
  <c r="G11"/>
  <c r="F11"/>
  <c r="D11"/>
  <c r="G10"/>
  <c r="F10"/>
  <c r="D10"/>
  <c r="G9"/>
  <c r="F9"/>
  <c r="D9"/>
  <c r="G8"/>
  <c r="F8"/>
  <c r="D8"/>
  <c r="G7"/>
  <c r="F7"/>
  <c r="D7"/>
  <c r="G6"/>
  <c r="F6"/>
  <c r="D6"/>
  <c r="G5"/>
  <c r="F5"/>
  <c r="D5"/>
  <c r="G4"/>
  <c r="F4"/>
  <c r="D4"/>
  <c r="G3"/>
  <c r="F3"/>
  <c r="D3"/>
</calcChain>
</file>

<file path=xl/sharedStrings.xml><?xml version="1.0" encoding="utf-8"?>
<sst xmlns="http://schemas.openxmlformats.org/spreadsheetml/2006/main" count="55" uniqueCount="54">
  <si>
    <t>r(T111U)</t>
  </si>
  <si>
    <t>r(T111D)</t>
  </si>
  <si>
    <t>r(T300)</t>
  </si>
  <si>
    <t>r(T210)</t>
  </si>
  <si>
    <t>r(T120C)</t>
  </si>
  <si>
    <t>r(T120U)</t>
  </si>
  <si>
    <t>r(T120D)</t>
  </si>
  <si>
    <t>r(T201)</t>
  </si>
  <si>
    <t>r(T030C)</t>
  </si>
  <si>
    <t>r(T030T)</t>
  </si>
  <si>
    <t>r(T021C)</t>
  </si>
  <si>
    <t>r(T021U)</t>
  </si>
  <si>
    <t>r(T021D)</t>
  </si>
  <si>
    <t>r(T102)</t>
  </si>
  <si>
    <t>r(T012)</t>
  </si>
  <si>
    <t>r(T003)</t>
  </si>
  <si>
    <t>Triad</t>
  </si>
  <si>
    <t>N</t>
  </si>
  <si>
    <t>Forbidden Triad</t>
  </si>
  <si>
    <t>Fully Transitive</t>
  </si>
  <si>
    <t>Outdegree Two-Star</t>
  </si>
  <si>
    <t>Pure 3-Cycle</t>
  </si>
  <si>
    <t>2-Chain</t>
  </si>
  <si>
    <t>Pure Indegree Two-Star</t>
  </si>
  <si>
    <t xml:space="preserve">Almost There </t>
  </si>
  <si>
    <t>2-Chain + Indegree 2-Star</t>
  </si>
  <si>
    <t>2-Chain + Outdegree 2-Star</t>
  </si>
  <si>
    <t>Meaningful Label</t>
  </si>
  <si>
    <t>M</t>
  </si>
  <si>
    <t>A</t>
  </si>
  <si>
    <t>Indegree Two-Star + M</t>
  </si>
  <si>
    <t>Outdegree Two-Star + M</t>
  </si>
  <si>
    <t>Indegree Two-Star + A</t>
  </si>
  <si>
    <t>3-Cycle + M</t>
  </si>
  <si>
    <t>t003</t>
  </si>
  <si>
    <t>t012</t>
  </si>
  <si>
    <t>t102</t>
  </si>
  <si>
    <t>t021D</t>
  </si>
  <si>
    <t>t021U</t>
  </si>
  <si>
    <t>t021C</t>
  </si>
  <si>
    <t>t111D</t>
  </si>
  <si>
    <t>t030T</t>
  </si>
  <si>
    <t>t030C</t>
  </si>
  <si>
    <t>t201</t>
  </si>
  <si>
    <t>t120D</t>
  </si>
  <si>
    <t>t120U</t>
  </si>
  <si>
    <t>t120C</t>
  </si>
  <si>
    <t>t210</t>
  </si>
  <si>
    <t>t300</t>
  </si>
  <si>
    <t>obs(p)</t>
  </si>
  <si>
    <t>t111U</t>
  </si>
  <si>
    <t>E(p)</t>
  </si>
  <si>
    <t>obs/E</t>
  </si>
  <si>
    <t>ln(obs/E)</t>
  </si>
</sst>
</file>

<file path=xl/styles.xml><?xml version="1.0" encoding="utf-8"?>
<styleSheet xmlns="http://schemas.openxmlformats.org/spreadsheetml/2006/main">
  <numFmts count="3">
    <numFmt numFmtId="165" formatCode="0.0"/>
    <numFmt numFmtId="166" formatCode="0.000000"/>
    <numFmt numFmtId="167" formatCode="0.00000"/>
  </numFmts>
  <fonts count="3">
    <font>
      <sz val="12"/>
      <color theme="1"/>
      <name val="Corbel"/>
      <family val="2"/>
    </font>
    <font>
      <b/>
      <sz val="12"/>
      <color theme="1"/>
      <name val="Corbel"/>
      <family val="2"/>
    </font>
    <font>
      <i/>
      <sz val="12"/>
      <color theme="1"/>
      <name val="Corbe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Font="1"/>
    <xf numFmtId="0" fontId="0" fillId="0" borderId="1" xfId="0" applyBorder="1"/>
    <xf numFmtId="0" fontId="0" fillId="0" borderId="2" xfId="0" applyBorder="1"/>
    <xf numFmtId="165" fontId="0" fillId="0" borderId="0" xfId="0" applyNumberFormat="1"/>
    <xf numFmtId="166" fontId="0" fillId="0" borderId="0" xfId="0" applyNumberFormat="1"/>
    <xf numFmtId="0" fontId="0" fillId="0" borderId="1" xfId="0" applyFill="1" applyBorder="1"/>
    <xf numFmtId="2" fontId="0" fillId="0" borderId="2" xfId="0" applyNumberFormat="1" applyBorder="1"/>
    <xf numFmtId="2" fontId="1" fillId="0" borderId="0" xfId="0" applyNumberFormat="1" applyFont="1"/>
    <xf numFmtId="2" fontId="2" fillId="0" borderId="0" xfId="0" applyNumberFormat="1" applyFont="1"/>
    <xf numFmtId="0" fontId="0" fillId="0" borderId="0" xfId="0" applyFill="1" applyBorder="1" applyAlignment="1">
      <alignment horizontal="right"/>
    </xf>
    <xf numFmtId="2" fontId="0" fillId="0" borderId="0" xfId="0" applyNumberFormat="1" applyAlignment="1">
      <alignment horizontal="right"/>
    </xf>
    <xf numFmtId="167" fontId="0" fillId="0" borderId="0" xfId="0" applyNumberFormat="1"/>
    <xf numFmtId="167" fontId="0" fillId="0" borderId="2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bar"/>
        <c:grouping val="clustered"/>
        <c:ser>
          <c:idx val="0"/>
          <c:order val="0"/>
          <c:cat>
            <c:strRef>
              <c:f>Sheet1!$C$3:$C$18</c:f>
              <c:strCache>
                <c:ptCount val="16"/>
                <c:pt idx="0">
                  <c:v>2-Chain + Outdegree 2-Star</c:v>
                </c:pt>
                <c:pt idx="1">
                  <c:v>2-Chain + Indegree 2-Star</c:v>
                </c:pt>
                <c:pt idx="2">
                  <c:v>Fully Transitive</c:v>
                </c:pt>
                <c:pt idx="3">
                  <c:v>Almost There </c:v>
                </c:pt>
                <c:pt idx="4">
                  <c:v>3-Cycle + M</c:v>
                </c:pt>
                <c:pt idx="5">
                  <c:v>Indegree Two-Star + M</c:v>
                </c:pt>
                <c:pt idx="6">
                  <c:v>Outdegree Two-Star + M</c:v>
                </c:pt>
                <c:pt idx="7">
                  <c:v>Forbidden Triad</c:v>
                </c:pt>
                <c:pt idx="8">
                  <c:v>Pure 3-Cycle</c:v>
                </c:pt>
                <c:pt idx="9">
                  <c:v>Indegree Two-Star + A</c:v>
                </c:pt>
                <c:pt idx="10">
                  <c:v>2-Chain</c:v>
                </c:pt>
                <c:pt idx="11">
                  <c:v>Pure Indegree Two-Star</c:v>
                </c:pt>
                <c:pt idx="12">
                  <c:v>Outdegree Two-Star</c:v>
                </c:pt>
                <c:pt idx="13">
                  <c:v>M</c:v>
                </c:pt>
                <c:pt idx="14">
                  <c:v>A</c:v>
                </c:pt>
                <c:pt idx="15">
                  <c:v>N</c:v>
                </c:pt>
              </c:strCache>
            </c:strRef>
          </c:cat>
          <c:val>
            <c:numRef>
              <c:f>Sheet1!$G$3:$G$18</c:f>
              <c:numCache>
                <c:formatCode>0.00</c:formatCode>
                <c:ptCount val="16"/>
                <c:pt idx="0">
                  <c:v>1.9888253982774182</c:v>
                </c:pt>
                <c:pt idx="1">
                  <c:v>1.8225041828299047</c:v>
                </c:pt>
                <c:pt idx="2">
                  <c:v>10.061711808266482</c:v>
                </c:pt>
                <c:pt idx="3">
                  <c:v>5.9814308784150123</c:v>
                </c:pt>
                <c:pt idx="4">
                  <c:v>-4.4687851603264761</c:v>
                </c:pt>
                <c:pt idx="5">
                  <c:v>2.9715913602649557</c:v>
                </c:pt>
                <c:pt idx="6">
                  <c:v>3.7337314123118519</c:v>
                </c:pt>
                <c:pt idx="7">
                  <c:v>3.5105878609976426</c:v>
                </c:pt>
                <c:pt idx="8">
                  <c:v>-1.7328438786595088</c:v>
                </c:pt>
                <c:pt idx="9">
                  <c:v>1.803272820902017</c:v>
                </c:pt>
                <c:pt idx="10">
                  <c:v>-1.3607173770752981</c:v>
                </c:pt>
                <c:pt idx="11">
                  <c:v>-0.92027255007110675</c:v>
                </c:pt>
                <c:pt idx="12">
                  <c:v>-1.1914253205716772</c:v>
                </c:pt>
                <c:pt idx="13">
                  <c:v>2.4538961592031292</c:v>
                </c:pt>
                <c:pt idx="14">
                  <c:v>-0.48353168071119051</c:v>
                </c:pt>
                <c:pt idx="15">
                  <c:v>4.5300304589088784E-2</c:v>
                </c:pt>
              </c:numCache>
            </c:numRef>
          </c:val>
        </c:ser>
        <c:axId val="85860736"/>
        <c:axId val="85862272"/>
      </c:barChart>
      <c:catAx>
        <c:axId val="85860736"/>
        <c:scaling>
          <c:orientation val="minMax"/>
        </c:scaling>
        <c:axPos val="l"/>
        <c:tickLblPos val="low"/>
        <c:crossAx val="85862272"/>
        <c:crosses val="autoZero"/>
        <c:auto val="1"/>
        <c:lblAlgn val="ctr"/>
        <c:lblOffset val="100"/>
      </c:catAx>
      <c:valAx>
        <c:axId val="85862272"/>
        <c:scaling>
          <c:orientation val="minMax"/>
        </c:scaling>
        <c:axPos val="b"/>
        <c:majorGridlines>
          <c:spPr>
            <a:ln>
              <a:gradFill>
                <a:gsLst>
                  <a:gs pos="0">
                    <a:srgbClr val="4F81BD">
                      <a:tint val="66000"/>
                      <a:satMod val="160000"/>
                      <a:alpha val="0"/>
                    </a:srgbClr>
                  </a:gs>
                  <a:gs pos="50000">
                    <a:srgbClr val="4F81BD">
                      <a:tint val="44500"/>
                      <a:satMod val="160000"/>
                    </a:srgbClr>
                  </a:gs>
                  <a:gs pos="100000">
                    <a:srgbClr val="4F81BD">
                      <a:tint val="23500"/>
                      <a:satMod val="160000"/>
                    </a:srgbClr>
                  </a:gs>
                </a:gsLst>
                <a:lin ang="5400000" scaled="0"/>
              </a:gradFill>
            </a:ln>
          </c:spPr>
        </c:majorGridlines>
        <c:numFmt formatCode="0.00" sourceLinked="1"/>
        <c:tickLblPos val="nextTo"/>
        <c:crossAx val="85860736"/>
        <c:crosses val="autoZero"/>
        <c:crossBetween val="between"/>
      </c:valAx>
    </c:plotArea>
    <c:plotVisOnly val="1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117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8550" cy="629130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8"/>
  <sheetViews>
    <sheetView tabSelected="1" topLeftCell="C1" workbookViewId="0">
      <selection activeCell="G18" sqref="C2:G18"/>
    </sheetView>
  </sheetViews>
  <sheetFormatPr defaultRowHeight="15.75"/>
  <cols>
    <col min="1" max="1" width="8.125" bestFit="1" customWidth="1"/>
    <col min="2" max="2" width="5.875" bestFit="1" customWidth="1"/>
    <col min="3" max="3" width="26.25" bestFit="1" customWidth="1"/>
  </cols>
  <sheetData>
    <row r="1" spans="1:7" ht="16.5" thickBot="1"/>
    <row r="2" spans="1:7" ht="16.5" thickTop="1">
      <c r="A2" s="2" t="s">
        <v>16</v>
      </c>
      <c r="B2" s="2" t="s">
        <v>17</v>
      </c>
      <c r="C2" s="2" t="s">
        <v>27</v>
      </c>
      <c r="D2" s="6" t="s">
        <v>49</v>
      </c>
      <c r="E2" s="6" t="s">
        <v>51</v>
      </c>
      <c r="F2" s="6" t="s">
        <v>52</v>
      </c>
      <c r="G2" s="10" t="s">
        <v>53</v>
      </c>
    </row>
    <row r="3" spans="1:7">
      <c r="A3" t="s">
        <v>0</v>
      </c>
      <c r="B3">
        <v>124</v>
      </c>
      <c r="C3" t="s">
        <v>26</v>
      </c>
      <c r="D3" s="12">
        <f>B3/SUM(B$3:B$18)</f>
        <v>2.5806451612903226E-3</v>
      </c>
      <c r="E3" s="12">
        <v>3.5317698700194764E-4</v>
      </c>
      <c r="F3" s="8">
        <f>D3/E3</f>
        <v>7.3069459683569109</v>
      </c>
      <c r="G3" s="11">
        <f>LN(F3)</f>
        <v>1.9888253982774182</v>
      </c>
    </row>
    <row r="4" spans="1:7">
      <c r="A4" t="s">
        <v>1</v>
      </c>
      <c r="B4">
        <v>105</v>
      </c>
      <c r="C4" t="s">
        <v>25</v>
      </c>
      <c r="D4" s="12">
        <f t="shared" ref="D4:D18" si="0">B4/SUM(B$3:B$18)</f>
        <v>2.1852237252861601E-3</v>
      </c>
      <c r="E4" s="12">
        <v>3.5317698700194764E-4</v>
      </c>
      <c r="F4" s="8">
        <f t="shared" ref="F4:F17" si="1">D4/E4</f>
        <v>6.1873332796570617</v>
      </c>
      <c r="G4" s="11">
        <f t="shared" ref="G4:G18" si="2">LN(F4)</f>
        <v>1.8225041828299047</v>
      </c>
    </row>
    <row r="5" spans="1:7">
      <c r="A5" t="s">
        <v>2</v>
      </c>
      <c r="B5">
        <v>5</v>
      </c>
      <c r="C5" t="s">
        <v>19</v>
      </c>
      <c r="D5" s="12">
        <f t="shared" si="0"/>
        <v>1.040582726326743E-4</v>
      </c>
      <c r="E5" s="12">
        <v>4.4415105240932951E-9</v>
      </c>
      <c r="F5" s="8">
        <f t="shared" si="1"/>
        <v>23428.577297791522</v>
      </c>
      <c r="G5" s="11">
        <f t="shared" si="2"/>
        <v>10.061711808266482</v>
      </c>
    </row>
    <row r="6" spans="1:7">
      <c r="A6" t="s">
        <v>3</v>
      </c>
      <c r="B6">
        <v>12</v>
      </c>
      <c r="C6" t="s">
        <v>24</v>
      </c>
      <c r="D6" s="12">
        <f t="shared" si="0"/>
        <v>2.4973985431841832E-4</v>
      </c>
      <c r="E6" s="12">
        <v>6.3064568661329089E-7</v>
      </c>
      <c r="F6" s="8">
        <f t="shared" si="1"/>
        <v>396.00660025057414</v>
      </c>
      <c r="G6" s="11">
        <f t="shared" si="2"/>
        <v>5.9814308784150123</v>
      </c>
    </row>
    <row r="7" spans="1:7">
      <c r="A7" t="s">
        <v>4</v>
      </c>
      <c r="B7">
        <v>5</v>
      </c>
      <c r="C7" t="s">
        <v>33</v>
      </c>
      <c r="D7" s="12">
        <f t="shared" si="0"/>
        <v>1.040582726326743E-4</v>
      </c>
      <c r="E7" s="12">
        <v>9.0791532816392358E-3</v>
      </c>
      <c r="F7" s="9">
        <f t="shared" si="1"/>
        <v>1.146123095455512E-2</v>
      </c>
      <c r="G7" s="11">
        <f t="shared" si="2"/>
        <v>-4.4687851603264761</v>
      </c>
    </row>
    <row r="8" spans="1:7">
      <c r="A8" t="s">
        <v>5</v>
      </c>
      <c r="B8">
        <v>7</v>
      </c>
      <c r="C8" t="s">
        <v>30</v>
      </c>
      <c r="D8" s="12">
        <f t="shared" si="0"/>
        <v>1.4568158168574402E-4</v>
      </c>
      <c r="E8" s="12">
        <v>7.4620631105589108E-6</v>
      </c>
      <c r="F8" s="8">
        <f t="shared" si="1"/>
        <v>19.522962956397784</v>
      </c>
      <c r="G8" s="11">
        <f t="shared" si="2"/>
        <v>2.9715913602649557</v>
      </c>
    </row>
    <row r="9" spans="1:7">
      <c r="A9" t="s">
        <v>6</v>
      </c>
      <c r="B9">
        <v>15</v>
      </c>
      <c r="C9" t="s">
        <v>31</v>
      </c>
      <c r="D9" s="12">
        <f t="shared" si="0"/>
        <v>3.1217481789802288E-4</v>
      </c>
      <c r="E9" s="12">
        <v>7.4620631105589108E-6</v>
      </c>
      <c r="F9" s="8">
        <f t="shared" si="1"/>
        <v>41.834920620852387</v>
      </c>
      <c r="G9" s="11">
        <f t="shared" si="2"/>
        <v>3.7337314123118519</v>
      </c>
    </row>
    <row r="10" spans="1:7">
      <c r="A10" s="1" t="s">
        <v>7</v>
      </c>
      <c r="B10" s="1">
        <v>12</v>
      </c>
      <c r="C10" t="s">
        <v>18</v>
      </c>
      <c r="D10" s="12">
        <f t="shared" si="0"/>
        <v>2.4973985431841832E-4</v>
      </c>
      <c r="E10" s="12">
        <v>7.4620631105589108E-6</v>
      </c>
      <c r="F10" s="8">
        <f t="shared" si="1"/>
        <v>33.467936496681915</v>
      </c>
      <c r="G10" s="11">
        <f t="shared" si="2"/>
        <v>3.5105878609976426</v>
      </c>
    </row>
    <row r="11" spans="1:7">
      <c r="A11" t="s">
        <v>8</v>
      </c>
      <c r="B11">
        <v>1</v>
      </c>
      <c r="C11" t="s">
        <v>21</v>
      </c>
      <c r="D11" s="12">
        <f t="shared" si="0"/>
        <v>2.081165452653486E-5</v>
      </c>
      <c r="E11" s="12">
        <v>1.1772566233398254E-4</v>
      </c>
      <c r="F11" s="9">
        <f t="shared" si="1"/>
        <v>0.17678095084734463</v>
      </c>
      <c r="G11" s="11">
        <f t="shared" si="2"/>
        <v>-1.7328438786595088</v>
      </c>
    </row>
    <row r="12" spans="1:7">
      <c r="A12" t="s">
        <v>9</v>
      </c>
      <c r="B12">
        <v>103</v>
      </c>
      <c r="C12" t="s">
        <v>32</v>
      </c>
      <c r="D12" s="12">
        <f t="shared" si="0"/>
        <v>2.1436004162330904E-3</v>
      </c>
      <c r="E12" s="12">
        <v>3.5317698700194764E-4</v>
      </c>
      <c r="F12" s="8">
        <f t="shared" si="1"/>
        <v>6.0694793124254982</v>
      </c>
      <c r="G12" s="11">
        <f t="shared" si="2"/>
        <v>1.803272820902017</v>
      </c>
    </row>
    <row r="13" spans="1:7">
      <c r="A13" t="s">
        <v>10</v>
      </c>
      <c r="B13">
        <v>103</v>
      </c>
      <c r="C13" t="s">
        <v>22</v>
      </c>
      <c r="D13" s="12">
        <f t="shared" si="0"/>
        <v>2.1436004162330904E-3</v>
      </c>
      <c r="E13" s="12">
        <v>8.3578751814142212E-3</v>
      </c>
      <c r="F13" s="9">
        <f t="shared" si="1"/>
        <v>0.25647672042290248</v>
      </c>
      <c r="G13" s="11">
        <f t="shared" si="2"/>
        <v>-1.3607173770752981</v>
      </c>
    </row>
    <row r="14" spans="1:7">
      <c r="A14" t="s">
        <v>11</v>
      </c>
      <c r="B14">
        <v>80</v>
      </c>
      <c r="C14" t="s">
        <v>23</v>
      </c>
      <c r="D14" s="12">
        <f t="shared" si="0"/>
        <v>1.6649323621227888E-3</v>
      </c>
      <c r="E14" s="12">
        <v>4.1789375907071106E-3</v>
      </c>
      <c r="F14" s="9">
        <f t="shared" si="1"/>
        <v>0.39841043949188737</v>
      </c>
      <c r="G14" s="11">
        <f t="shared" si="2"/>
        <v>-0.92027255007110675</v>
      </c>
    </row>
    <row r="15" spans="1:7">
      <c r="A15" t="s">
        <v>12</v>
      </c>
      <c r="B15">
        <v>61</v>
      </c>
      <c r="C15" t="s">
        <v>20</v>
      </c>
      <c r="D15" s="12">
        <f t="shared" si="0"/>
        <v>1.2695109261186264E-3</v>
      </c>
      <c r="E15" s="12">
        <v>4.1789375907071106E-3</v>
      </c>
      <c r="F15" s="9">
        <f t="shared" si="1"/>
        <v>0.30378796011256409</v>
      </c>
      <c r="G15" s="11">
        <f t="shared" si="2"/>
        <v>-1.1914253205716772</v>
      </c>
    </row>
    <row r="16" spans="1:7">
      <c r="A16" t="s">
        <v>13</v>
      </c>
      <c r="B16">
        <v>2336</v>
      </c>
      <c r="C16" t="s">
        <v>28</v>
      </c>
      <c r="D16" s="12">
        <f t="shared" si="0"/>
        <v>4.8616024973985435E-2</v>
      </c>
      <c r="E16" s="12">
        <v>4.1789375907071106E-3</v>
      </c>
      <c r="F16" s="8">
        <f t="shared" si="1"/>
        <v>11.633584833163111</v>
      </c>
      <c r="G16" s="11">
        <f t="shared" si="2"/>
        <v>2.4538961592031292</v>
      </c>
    </row>
    <row r="17" spans="1:7">
      <c r="A17" t="s">
        <v>14</v>
      </c>
      <c r="B17">
        <v>5860</v>
      </c>
      <c r="C17" t="s">
        <v>29</v>
      </c>
      <c r="D17" s="12">
        <f t="shared" si="0"/>
        <v>0.12195629552549428</v>
      </c>
      <c r="E17" s="12">
        <v>0.19778773849643433</v>
      </c>
      <c r="F17" s="9">
        <f t="shared" si="1"/>
        <v>0.61660190086906164</v>
      </c>
      <c r="G17" s="11">
        <f t="shared" si="2"/>
        <v>-0.48353168071119051</v>
      </c>
    </row>
    <row r="18" spans="1:7">
      <c r="A18" s="3" t="s">
        <v>15</v>
      </c>
      <c r="B18" s="3">
        <v>39221</v>
      </c>
      <c r="C18" s="3" t="s">
        <v>17</v>
      </c>
      <c r="D18" s="13">
        <f t="shared" si="0"/>
        <v>0.81625390218522376</v>
      </c>
      <c r="E18" s="13">
        <v>0.78010237152394013</v>
      </c>
      <c r="F18" s="7">
        <f>D18/E18</f>
        <v>1.0463420340469689</v>
      </c>
      <c r="G18" s="11">
        <f t="shared" si="2"/>
        <v>4.5300304589088784E-2</v>
      </c>
    </row>
  </sheetData>
  <conditionalFormatting sqref="B3:B15">
    <cfRule type="colorScale" priority="5">
      <colorScale>
        <cfvo type="min" val="0"/>
        <cfvo type="percentile" val="50"/>
        <cfvo type="max" val="0"/>
        <color rgb="FF5A8AC6"/>
        <color rgb="FFFFEB84"/>
        <color rgb="FFF8696B"/>
      </colorScale>
    </cfRule>
  </conditionalFormatting>
  <conditionalFormatting sqref="F3:F18">
    <cfRule type="colorScale" priority="1">
      <colorScale>
        <cfvo type="min" val="0"/>
        <cfvo type="percentile" val="50"/>
        <cfvo type="max" val="0"/>
        <color rgb="FF5A8AC6"/>
        <color rgb="FFFFEB84"/>
        <color rgb="FFF8696B"/>
      </colorScale>
    </cfRule>
  </conditionalFormatting>
  <conditionalFormatting sqref="D3:E15">
    <cfRule type="colorScale" priority="2">
      <colorScale>
        <cfvo type="min" val="0"/>
        <cfvo type="percentile" val="50"/>
        <cfvo type="max" val="0"/>
        <color rgb="FF5A8AC6"/>
        <color rgb="FFFFEB84"/>
        <color rgb="FFF8696B"/>
      </colorScale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U67"/>
  <sheetViews>
    <sheetView topLeftCell="BR1" zoomScaleNormal="100" workbookViewId="0">
      <selection activeCell="BT1" sqref="BT1:BU16"/>
    </sheetView>
  </sheetViews>
  <sheetFormatPr defaultRowHeight="15.75"/>
  <cols>
    <col min="1" max="67" width="1.875" bestFit="1" customWidth="1"/>
    <col min="73" max="73" width="12" bestFit="1" customWidth="1"/>
  </cols>
  <sheetData>
    <row r="1" spans="1:73">
      <c r="A1">
        <v>0</v>
      </c>
      <c r="B1">
        <v>0</v>
      </c>
      <c r="C1">
        <v>0</v>
      </c>
      <c r="D1">
        <v>1</v>
      </c>
      <c r="E1">
        <v>1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0</v>
      </c>
      <c r="AJ1">
        <v>0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  <c r="AQ1">
        <v>0</v>
      </c>
      <c r="AR1">
        <v>0</v>
      </c>
      <c r="AS1">
        <v>0</v>
      </c>
      <c r="AT1">
        <v>0</v>
      </c>
      <c r="AU1">
        <v>0</v>
      </c>
      <c r="AV1">
        <v>0</v>
      </c>
      <c r="AW1">
        <v>0</v>
      </c>
      <c r="AX1">
        <v>0</v>
      </c>
      <c r="AY1">
        <v>0</v>
      </c>
      <c r="AZ1">
        <v>0</v>
      </c>
      <c r="BA1">
        <v>0</v>
      </c>
      <c r="BB1">
        <v>0</v>
      </c>
      <c r="BC1">
        <v>0</v>
      </c>
      <c r="BD1">
        <v>0</v>
      </c>
      <c r="BE1">
        <v>0</v>
      </c>
      <c r="BF1">
        <v>0</v>
      </c>
      <c r="BG1">
        <v>0</v>
      </c>
      <c r="BH1">
        <v>0</v>
      </c>
      <c r="BI1">
        <v>0</v>
      </c>
      <c r="BJ1">
        <v>0</v>
      </c>
      <c r="BK1">
        <v>0</v>
      </c>
      <c r="BL1">
        <v>0</v>
      </c>
      <c r="BM1">
        <v>0</v>
      </c>
      <c r="BN1">
        <v>0</v>
      </c>
      <c r="BO1">
        <v>0</v>
      </c>
      <c r="BS1">
        <f>AVERAGE(A1:BO67)</f>
        <v>4.0543550902205391E-2</v>
      </c>
      <c r="BT1" t="s">
        <v>34</v>
      </c>
      <c r="BU1" s="5">
        <f>(1-BS1)^6</f>
        <v>0.78010237152394013</v>
      </c>
    </row>
    <row r="2" spans="1:7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1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1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1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T2" t="s">
        <v>35</v>
      </c>
      <c r="BU2" s="5">
        <f>(6*BS1)*(1-BS1)^5</f>
        <v>0.19778773849643433</v>
      </c>
    </row>
    <row r="3" spans="1:7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1</v>
      </c>
      <c r="BE3">
        <v>0</v>
      </c>
      <c r="BF3">
        <v>0</v>
      </c>
      <c r="BG3">
        <v>0</v>
      </c>
      <c r="BH3">
        <v>0</v>
      </c>
      <c r="BI3">
        <v>1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T3" t="s">
        <v>36</v>
      </c>
      <c r="BU3" s="5">
        <f>(3*BS1^2)*(1-BS1)^4</f>
        <v>4.1789375907071106E-3</v>
      </c>
    </row>
    <row r="4" spans="1:73">
      <c r="A4">
        <v>0</v>
      </c>
      <c r="B4">
        <v>0</v>
      </c>
      <c r="C4">
        <v>0</v>
      </c>
      <c r="D4">
        <v>0</v>
      </c>
      <c r="E4">
        <v>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T4" t="s">
        <v>37</v>
      </c>
      <c r="BU4" s="5">
        <f>(3*BS1^2)*(1-BS1)^4</f>
        <v>4.1789375907071106E-3</v>
      </c>
    </row>
    <row r="5" spans="1:73">
      <c r="A5">
        <v>0</v>
      </c>
      <c r="B5">
        <v>0</v>
      </c>
      <c r="C5">
        <v>0</v>
      </c>
      <c r="D5">
        <v>1</v>
      </c>
      <c r="E5">
        <v>0</v>
      </c>
      <c r="F5">
        <v>0</v>
      </c>
      <c r="G5">
        <v>1</v>
      </c>
      <c r="H5">
        <v>0</v>
      </c>
      <c r="I5">
        <v>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T5" t="s">
        <v>38</v>
      </c>
      <c r="BU5" s="5">
        <f>(3*BS1^2)*(1-BS1)^4</f>
        <v>4.1789375907071106E-3</v>
      </c>
    </row>
    <row r="6" spans="1:73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T6" t="s">
        <v>39</v>
      </c>
      <c r="BU6" s="5">
        <f>(6*BS1^2)*(1-BS1)^4</f>
        <v>8.3578751814142212E-3</v>
      </c>
    </row>
    <row r="7" spans="1:73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T7" t="s">
        <v>40</v>
      </c>
      <c r="BU7" s="5">
        <f>(6*BS1^3)*(1-BS1)^3</f>
        <v>3.5317698700194764E-4</v>
      </c>
    </row>
    <row r="8" spans="1:73">
      <c r="A8">
        <v>0</v>
      </c>
      <c r="B8">
        <v>0</v>
      </c>
      <c r="C8">
        <v>0</v>
      </c>
      <c r="D8">
        <v>1</v>
      </c>
      <c r="E8">
        <v>1</v>
      </c>
      <c r="F8">
        <v>0</v>
      </c>
      <c r="G8">
        <v>1</v>
      </c>
      <c r="H8">
        <v>0</v>
      </c>
      <c r="I8">
        <v>0</v>
      </c>
      <c r="J8">
        <v>0</v>
      </c>
      <c r="K8">
        <v>0</v>
      </c>
      <c r="L8">
        <v>1</v>
      </c>
      <c r="M8">
        <v>0</v>
      </c>
      <c r="N8">
        <v>0</v>
      </c>
      <c r="O8">
        <v>0</v>
      </c>
      <c r="P8">
        <v>1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1</v>
      </c>
      <c r="AD8">
        <v>0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1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T8" t="s">
        <v>50</v>
      </c>
      <c r="BU8" s="5">
        <f>(6*BS1^3)*(1-BS1)^3</f>
        <v>3.5317698700194764E-4</v>
      </c>
    </row>
    <row r="9" spans="1:73">
      <c r="A9">
        <v>0</v>
      </c>
      <c r="B9">
        <v>0</v>
      </c>
      <c r="C9">
        <v>0</v>
      </c>
      <c r="D9">
        <v>1</v>
      </c>
      <c r="E9">
        <v>1</v>
      </c>
      <c r="F9">
        <v>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T9" t="s">
        <v>41</v>
      </c>
      <c r="BU9" s="5">
        <f>(6*BS1^3)*(1-BS1)^3</f>
        <v>3.5317698700194764E-4</v>
      </c>
    </row>
    <row r="10" spans="1:73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T10" t="s">
        <v>42</v>
      </c>
      <c r="BU10" s="5">
        <f>(2*BS1^3)*(1-BS1)^3</f>
        <v>1.1772566233398254E-4</v>
      </c>
    </row>
    <row r="11" spans="1:7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1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T11" t="s">
        <v>43</v>
      </c>
      <c r="BU11" s="5">
        <f>(3*BS1^4)*(1-BS1)^2</f>
        <v>7.4620631105589108E-6</v>
      </c>
    </row>
    <row r="12" spans="1:7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1</v>
      </c>
      <c r="I12">
        <v>0</v>
      </c>
      <c r="J12">
        <v>0</v>
      </c>
      <c r="K12">
        <v>0</v>
      </c>
      <c r="L12">
        <v>0</v>
      </c>
      <c r="M12">
        <v>1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1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1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T12" t="s">
        <v>44</v>
      </c>
      <c r="BU12" s="5">
        <f>(3*BS1^4)*(1-BS1)^2</f>
        <v>7.4620631105589108E-6</v>
      </c>
    </row>
    <row r="13" spans="1:73">
      <c r="A13">
        <v>0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T13" t="s">
        <v>45</v>
      </c>
      <c r="BU13" s="5">
        <f>(3*BS1^4)*(1-BS1)^2</f>
        <v>7.4620631105589108E-6</v>
      </c>
    </row>
    <row r="14" spans="1:73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1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T14" t="s">
        <v>46</v>
      </c>
      <c r="BU14" s="5">
        <f>(6*BS1^2)*(1-BS1)^2</f>
        <v>9.0791532816392358E-3</v>
      </c>
    </row>
    <row r="15" spans="1:73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1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1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T15" t="s">
        <v>47</v>
      </c>
      <c r="BU15" s="5">
        <f>(6*BS1^5)*(1-BS1)</f>
        <v>6.3064568661329089E-7</v>
      </c>
    </row>
    <row r="16" spans="1:73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1</v>
      </c>
      <c r="AU16">
        <v>0</v>
      </c>
      <c r="AV16">
        <v>1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T16" t="s">
        <v>48</v>
      </c>
      <c r="BU16" s="5">
        <f>BS1^6</f>
        <v>4.4415105240932951E-9</v>
      </c>
    </row>
    <row r="17" spans="1:73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1</v>
      </c>
      <c r="P17">
        <v>1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</row>
    <row r="18" spans="1:73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</v>
      </c>
      <c r="Q18">
        <v>0</v>
      </c>
      <c r="R18">
        <v>0</v>
      </c>
      <c r="S18">
        <v>0</v>
      </c>
      <c r="T18">
        <v>1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1</v>
      </c>
      <c r="AP18">
        <v>0</v>
      </c>
      <c r="AQ18">
        <v>0</v>
      </c>
      <c r="AR18">
        <v>0</v>
      </c>
      <c r="AS18">
        <v>1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U18" s="4">
        <f>SUM(BU1:BU16)</f>
        <v>1.0090642291554179</v>
      </c>
    </row>
    <row r="19" spans="1:73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</row>
    <row r="20" spans="1:73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1</v>
      </c>
      <c r="AP20">
        <v>0</v>
      </c>
      <c r="AQ20">
        <v>0</v>
      </c>
      <c r="AR20">
        <v>0</v>
      </c>
      <c r="AS20">
        <v>1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</row>
    <row r="21" spans="1:73">
      <c r="A21">
        <v>0</v>
      </c>
      <c r="B21">
        <v>0</v>
      </c>
      <c r="C21">
        <v>1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1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</row>
    <row r="22" spans="1:73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1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1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1</v>
      </c>
      <c r="BM22">
        <v>0</v>
      </c>
      <c r="BN22">
        <v>0</v>
      </c>
      <c r="BO22">
        <v>0</v>
      </c>
    </row>
    <row r="23" spans="1:73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1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1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1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</row>
    <row r="24" spans="1:73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1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1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1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</row>
    <row r="25" spans="1:73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</row>
    <row r="26" spans="1:73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</row>
    <row r="27" spans="1:73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1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1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</row>
    <row r="28" spans="1:73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1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1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1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</row>
    <row r="29" spans="1:73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1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</row>
    <row r="30" spans="1:73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1</v>
      </c>
      <c r="AH30">
        <v>0</v>
      </c>
      <c r="AI30">
        <v>0</v>
      </c>
      <c r="AJ30">
        <v>0</v>
      </c>
      <c r="AK30">
        <v>1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1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1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1</v>
      </c>
    </row>
    <row r="31" spans="1:73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1</v>
      </c>
      <c r="P31">
        <v>1</v>
      </c>
      <c r="Q31">
        <v>1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1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</row>
    <row r="32" spans="1:73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1</v>
      </c>
      <c r="I32">
        <v>0</v>
      </c>
      <c r="J32">
        <v>0</v>
      </c>
      <c r="K32">
        <v>0</v>
      </c>
      <c r="L32">
        <v>1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1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</row>
    <row r="33" spans="1:67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1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1</v>
      </c>
    </row>
    <row r="34" spans="1:67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1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1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</row>
    <row r="35" spans="1:67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</row>
    <row r="36" spans="1:67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1</v>
      </c>
      <c r="S36">
        <v>0</v>
      </c>
      <c r="T36">
        <v>1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</row>
    <row r="37" spans="1:67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1</v>
      </c>
      <c r="Y37">
        <v>0</v>
      </c>
      <c r="Z37">
        <v>0</v>
      </c>
      <c r="AA37">
        <v>0</v>
      </c>
      <c r="AB37">
        <v>0</v>
      </c>
      <c r="AC37">
        <v>0</v>
      </c>
      <c r="AD37">
        <v>1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1</v>
      </c>
      <c r="AR37">
        <v>0</v>
      </c>
      <c r="AS37">
        <v>0</v>
      </c>
      <c r="AT37">
        <v>0</v>
      </c>
      <c r="AU37">
        <v>0</v>
      </c>
      <c r="AV37">
        <v>1</v>
      </c>
      <c r="AW37">
        <v>0</v>
      </c>
      <c r="AX37">
        <v>0</v>
      </c>
      <c r="AY37">
        <v>0</v>
      </c>
      <c r="AZ37">
        <v>1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1</v>
      </c>
    </row>
    <row r="38" spans="1:67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1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</row>
    <row r="39" spans="1:67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1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1</v>
      </c>
      <c r="AV39">
        <v>0</v>
      </c>
      <c r="AW39">
        <v>0</v>
      </c>
      <c r="AX39">
        <v>0</v>
      </c>
      <c r="AY39">
        <v>1</v>
      </c>
      <c r="AZ39">
        <v>0</v>
      </c>
      <c r="BA39">
        <v>0</v>
      </c>
      <c r="BB39">
        <v>1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</row>
    <row r="40" spans="1:67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1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1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</row>
    <row r="41" spans="1:67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1</v>
      </c>
      <c r="S41">
        <v>0</v>
      </c>
      <c r="T41">
        <v>0</v>
      </c>
      <c r="U41">
        <v>1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1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1</v>
      </c>
      <c r="BA41">
        <v>0</v>
      </c>
      <c r="BB41">
        <v>0</v>
      </c>
      <c r="BC41">
        <v>0</v>
      </c>
      <c r="BD41">
        <v>1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</row>
    <row r="42" spans="1:67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1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</row>
    <row r="43" spans="1:67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1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</row>
    <row r="44" spans="1:67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1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1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1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</row>
    <row r="45" spans="1:67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1</v>
      </c>
      <c r="AL45">
        <v>0</v>
      </c>
      <c r="AM45">
        <v>0</v>
      </c>
      <c r="AN45">
        <v>0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1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</row>
    <row r="46" spans="1:67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1</v>
      </c>
      <c r="P46">
        <v>1</v>
      </c>
      <c r="Q46">
        <v>1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</row>
    <row r="47" spans="1:67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1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1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</row>
    <row r="48" spans="1:67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1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1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</row>
    <row r="49" spans="1:67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1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1</v>
      </c>
      <c r="BD49">
        <v>1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1</v>
      </c>
      <c r="BM49">
        <v>0</v>
      </c>
      <c r="BN49">
        <v>0</v>
      </c>
      <c r="BO49">
        <v>0</v>
      </c>
    </row>
    <row r="50" spans="1:67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1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1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1</v>
      </c>
    </row>
    <row r="51" spans="1:67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1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</row>
    <row r="52" spans="1:67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1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1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</row>
    <row r="53" spans="1:67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1</v>
      </c>
      <c r="AU53">
        <v>1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</row>
    <row r="54" spans="1:67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1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1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1</v>
      </c>
      <c r="AV54">
        <v>0</v>
      </c>
      <c r="AW54">
        <v>0</v>
      </c>
      <c r="AX54">
        <v>0</v>
      </c>
      <c r="AY54">
        <v>1</v>
      </c>
      <c r="AZ54">
        <v>0</v>
      </c>
      <c r="BA54">
        <v>0</v>
      </c>
      <c r="BB54">
        <v>0</v>
      </c>
      <c r="BC54">
        <v>1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</row>
    <row r="55" spans="1:67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1</v>
      </c>
      <c r="AX55">
        <v>0</v>
      </c>
      <c r="AY55">
        <v>0</v>
      </c>
      <c r="AZ55">
        <v>1</v>
      </c>
      <c r="BA55">
        <v>0</v>
      </c>
      <c r="BB55">
        <v>0</v>
      </c>
      <c r="BC55">
        <v>0</v>
      </c>
      <c r="BD55">
        <v>1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1</v>
      </c>
      <c r="BM55">
        <v>0</v>
      </c>
      <c r="BN55">
        <v>0</v>
      </c>
      <c r="BO55">
        <v>0</v>
      </c>
    </row>
    <row r="56" spans="1:67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1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1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1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1</v>
      </c>
      <c r="BM56">
        <v>0</v>
      </c>
      <c r="BN56">
        <v>0</v>
      </c>
      <c r="BO56">
        <v>0</v>
      </c>
    </row>
    <row r="57" spans="1:67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</row>
    <row r="58" spans="1:67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1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1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</row>
    <row r="59" spans="1:67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1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1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</row>
    <row r="60" spans="1:67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1</v>
      </c>
      <c r="BF60">
        <v>0</v>
      </c>
      <c r="BG60">
        <v>1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</row>
    <row r="61" spans="1:67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1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1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1</v>
      </c>
      <c r="BE61">
        <v>1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</row>
    <row r="62" spans="1:67">
      <c r="A62">
        <v>0</v>
      </c>
      <c r="B62">
        <v>0</v>
      </c>
      <c r="C62">
        <v>0</v>
      </c>
      <c r="D62">
        <v>0</v>
      </c>
      <c r="E62">
        <v>0</v>
      </c>
      <c r="F62">
        <v>1</v>
      </c>
      <c r="G62">
        <v>0</v>
      </c>
      <c r="H62">
        <v>1</v>
      </c>
      <c r="I62">
        <v>0</v>
      </c>
      <c r="J62">
        <v>0</v>
      </c>
      <c r="K62">
        <v>0</v>
      </c>
      <c r="L62">
        <v>0</v>
      </c>
      <c r="M62">
        <v>1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1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1</v>
      </c>
      <c r="BO62">
        <v>0</v>
      </c>
    </row>
    <row r="63" spans="1:67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1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1</v>
      </c>
      <c r="X63">
        <v>1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1</v>
      </c>
      <c r="AV63">
        <v>0</v>
      </c>
      <c r="AW63">
        <v>0</v>
      </c>
      <c r="AX63">
        <v>0</v>
      </c>
      <c r="AY63">
        <v>0</v>
      </c>
      <c r="AZ63">
        <v>1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</row>
    <row r="64" spans="1:67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1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1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1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</row>
    <row r="65" spans="1:67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1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1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</row>
    <row r="66" spans="1:67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1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1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1</v>
      </c>
      <c r="BK66">
        <v>0</v>
      </c>
      <c r="BL66">
        <v>0</v>
      </c>
      <c r="BM66">
        <v>0</v>
      </c>
      <c r="BN66">
        <v>0</v>
      </c>
      <c r="BO66">
        <v>0</v>
      </c>
    </row>
    <row r="67" spans="1:67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1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1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Chart1</vt:lpstr>
    </vt:vector>
  </TitlesOfParts>
  <Company>University of Notre Dame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Omar Lizardo</dc:creator>
  <cp:lastModifiedBy>Omar Lizardo</cp:lastModifiedBy>
  <dcterms:created xsi:type="dcterms:W3CDTF">2009-03-03T16:52:42Z</dcterms:created>
  <dcterms:modified xsi:type="dcterms:W3CDTF">2009-03-04T13:07:02Z</dcterms:modified>
</cp:coreProperties>
</file>